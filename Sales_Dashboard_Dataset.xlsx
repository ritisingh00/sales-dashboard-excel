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C3" i="2"/>
  <c r="D66" i="1"/>
  <c r="E66" i="1"/>
  <c r="C66" i="1"/>
  <c r="D65" i="1"/>
  <c r="E65" i="1"/>
  <c r="C65" i="1"/>
  <c r="D64" i="1"/>
  <c r="E64" i="1"/>
  <c r="C64" i="1"/>
  <c r="D63" i="1"/>
  <c r="E63" i="1"/>
  <c r="C63" i="1"/>
</calcChain>
</file>

<file path=xl/sharedStrings.xml><?xml version="1.0" encoding="utf-8"?>
<sst xmlns="http://schemas.openxmlformats.org/spreadsheetml/2006/main" count="323" uniqueCount="69">
  <si>
    <t>Product</t>
  </si>
  <si>
    <t>Category</t>
  </si>
  <si>
    <t>Quantity_Sold</t>
  </si>
  <si>
    <t>Price_per_Unit</t>
  </si>
  <si>
    <t>Total_Sales</t>
  </si>
  <si>
    <t>Region</t>
  </si>
  <si>
    <t>Salesperson</t>
  </si>
  <si>
    <t>Month</t>
  </si>
  <si>
    <t>Carrots</t>
  </si>
  <si>
    <t>Biscuits</t>
  </si>
  <si>
    <t>Watermelons</t>
  </si>
  <si>
    <t>Tomatoes</t>
  </si>
  <si>
    <t>Chips</t>
  </si>
  <si>
    <t>Chocolate</t>
  </si>
  <si>
    <t>Juice</t>
  </si>
  <si>
    <t>Coke</t>
  </si>
  <si>
    <t>Mangoes</t>
  </si>
  <si>
    <t>Fanta</t>
  </si>
  <si>
    <t>Oranges</t>
  </si>
  <si>
    <t>Sprite</t>
  </si>
  <si>
    <t>Onions</t>
  </si>
  <si>
    <t>Pepsi</t>
  </si>
  <si>
    <t>Kiwi</t>
  </si>
  <si>
    <t>Papayas</t>
  </si>
  <si>
    <t>Grapes</t>
  </si>
  <si>
    <t>Strawberries</t>
  </si>
  <si>
    <t>Vegetables</t>
  </si>
  <si>
    <t>Snacks</t>
  </si>
  <si>
    <t>Fruits</t>
  </si>
  <si>
    <t>Beverages</t>
  </si>
  <si>
    <t>South</t>
  </si>
  <si>
    <t>East</t>
  </si>
  <si>
    <t>North</t>
  </si>
  <si>
    <t>West</t>
  </si>
  <si>
    <t>Rohit</t>
  </si>
  <si>
    <t>Riya</t>
  </si>
  <si>
    <t>Simran</t>
  </si>
  <si>
    <t>Amit</t>
  </si>
  <si>
    <t>Neha</t>
  </si>
  <si>
    <t>Arjun</t>
  </si>
  <si>
    <t>Karan</t>
  </si>
  <si>
    <t>Priya</t>
  </si>
  <si>
    <t>Nov</t>
  </si>
  <si>
    <t>Oct</t>
  </si>
  <si>
    <t>May</t>
  </si>
  <si>
    <t>Dec</t>
  </si>
  <si>
    <t>Aug</t>
  </si>
  <si>
    <t>Mar</t>
  </si>
  <si>
    <t>Jan</t>
  </si>
  <si>
    <t>Jun</t>
  </si>
  <si>
    <t>Apr</t>
  </si>
  <si>
    <t>Sep</t>
  </si>
  <si>
    <t>Feb</t>
  </si>
  <si>
    <t>Jul</t>
  </si>
  <si>
    <t>Total</t>
  </si>
  <si>
    <t>MAX</t>
  </si>
  <si>
    <t>MIN</t>
  </si>
  <si>
    <t>AVG</t>
  </si>
  <si>
    <t>S.No</t>
  </si>
  <si>
    <t>Question</t>
  </si>
  <si>
    <t>Count how many sales entries are in the dataset.</t>
  </si>
  <si>
    <t>Find the largest sale value</t>
  </si>
  <si>
    <t>Find the smallest sale value.</t>
  </si>
  <si>
    <t>Calculate total sales in North region</t>
  </si>
  <si>
    <t>Calculate average sales made by Riya.</t>
  </si>
  <si>
    <t>Count how many Mangoes were sold.</t>
  </si>
  <si>
    <t>Count how many sales were above ₹50,000.</t>
  </si>
  <si>
    <t>Find the region with the highest total sales using a Pivot Table.</t>
  </si>
  <si>
    <t>High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</si>
</sst>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workbookViewId="0">
      <selection activeCell="K20" sqref="K20"/>
    </sheetView>
  </sheetViews>
  <sheetFormatPr defaultRowHeight="14.5" x14ac:dyDescent="0.35"/>
  <cols>
    <col min="1" max="1" width="13.08984375" customWidth="1"/>
    <col min="2" max="2" width="12.6328125" customWidth="1"/>
    <col min="3" max="3" width="15.36328125" customWidth="1"/>
    <col min="4" max="4" width="14.08984375" customWidth="1"/>
    <col min="5" max="6" width="15" customWidth="1"/>
    <col min="7" max="7" width="15.26953125" customWidth="1"/>
    <col min="8" max="8" width="16.6328125" customWidth="1"/>
    <col min="9" max="9" width="14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t="s">
        <v>26</v>
      </c>
      <c r="C2">
        <v>363</v>
      </c>
      <c r="D2" s="2">
        <v>136</v>
      </c>
      <c r="E2" s="2">
        <v>49368</v>
      </c>
      <c r="F2" s="2" t="str">
        <f>IF(E2&gt;50000,"Yes","No")</f>
        <v>No</v>
      </c>
      <c r="G2" t="s">
        <v>30</v>
      </c>
      <c r="H2" t="s">
        <v>34</v>
      </c>
      <c r="I2" t="s">
        <v>42</v>
      </c>
    </row>
    <row r="3" spans="1:9" x14ac:dyDescent="0.35">
      <c r="A3" t="s">
        <v>9</v>
      </c>
      <c r="B3" t="s">
        <v>27</v>
      </c>
      <c r="C3">
        <v>371</v>
      </c>
      <c r="D3" s="2">
        <v>58</v>
      </c>
      <c r="E3" s="2">
        <v>21518</v>
      </c>
      <c r="F3" s="2" t="str">
        <f t="shared" ref="F3:F61" si="0">IF(E3&gt;50000,"Yes","No")</f>
        <v>No</v>
      </c>
      <c r="G3" t="s">
        <v>31</v>
      </c>
      <c r="H3" t="s">
        <v>35</v>
      </c>
      <c r="I3" t="s">
        <v>43</v>
      </c>
    </row>
    <row r="4" spans="1:9" x14ac:dyDescent="0.35">
      <c r="A4" t="s">
        <v>9</v>
      </c>
      <c r="B4" t="s">
        <v>27</v>
      </c>
      <c r="C4">
        <v>38</v>
      </c>
      <c r="D4" s="2">
        <v>106</v>
      </c>
      <c r="E4" s="2">
        <v>4028</v>
      </c>
      <c r="F4" s="2" t="str">
        <f t="shared" si="0"/>
        <v>No</v>
      </c>
      <c r="G4" t="s">
        <v>30</v>
      </c>
      <c r="H4" t="s">
        <v>36</v>
      </c>
      <c r="I4" t="s">
        <v>44</v>
      </c>
    </row>
    <row r="5" spans="1:9" x14ac:dyDescent="0.35">
      <c r="A5" t="s">
        <v>10</v>
      </c>
      <c r="B5" t="s">
        <v>28</v>
      </c>
      <c r="C5">
        <v>251</v>
      </c>
      <c r="D5" s="2">
        <v>179</v>
      </c>
      <c r="E5" s="2">
        <v>44929</v>
      </c>
      <c r="F5" s="2" t="str">
        <f t="shared" si="0"/>
        <v>No</v>
      </c>
      <c r="G5" t="s">
        <v>32</v>
      </c>
      <c r="H5" t="s">
        <v>37</v>
      </c>
      <c r="I5" t="s">
        <v>45</v>
      </c>
    </row>
    <row r="6" spans="1:9" x14ac:dyDescent="0.35">
      <c r="A6" t="s">
        <v>11</v>
      </c>
      <c r="B6" t="s">
        <v>26</v>
      </c>
      <c r="C6">
        <v>164</v>
      </c>
      <c r="D6" s="2">
        <v>147</v>
      </c>
      <c r="E6" s="2">
        <v>24108</v>
      </c>
      <c r="F6" s="2" t="str">
        <f t="shared" si="0"/>
        <v>No</v>
      </c>
      <c r="G6" t="s">
        <v>30</v>
      </c>
      <c r="H6" t="s">
        <v>35</v>
      </c>
      <c r="I6" t="s">
        <v>46</v>
      </c>
    </row>
    <row r="7" spans="1:9" x14ac:dyDescent="0.35">
      <c r="A7" t="s">
        <v>12</v>
      </c>
      <c r="B7" t="s">
        <v>27</v>
      </c>
      <c r="C7">
        <v>295</v>
      </c>
      <c r="D7" s="2">
        <v>83</v>
      </c>
      <c r="E7" s="2">
        <v>24485</v>
      </c>
      <c r="F7" s="2" t="str">
        <f t="shared" si="0"/>
        <v>No</v>
      </c>
      <c r="G7" t="s">
        <v>32</v>
      </c>
      <c r="H7" t="s">
        <v>36</v>
      </c>
      <c r="I7" t="s">
        <v>43</v>
      </c>
    </row>
    <row r="8" spans="1:9" x14ac:dyDescent="0.35">
      <c r="A8" t="s">
        <v>10</v>
      </c>
      <c r="B8" t="s">
        <v>28</v>
      </c>
      <c r="C8">
        <v>454</v>
      </c>
      <c r="D8" s="2">
        <v>38</v>
      </c>
      <c r="E8" s="2">
        <v>17252</v>
      </c>
      <c r="F8" s="2" t="str">
        <f t="shared" si="0"/>
        <v>No</v>
      </c>
      <c r="G8" t="s">
        <v>31</v>
      </c>
      <c r="H8" t="s">
        <v>38</v>
      </c>
      <c r="I8" t="s">
        <v>47</v>
      </c>
    </row>
    <row r="9" spans="1:9" x14ac:dyDescent="0.35">
      <c r="A9" t="s">
        <v>13</v>
      </c>
      <c r="B9" t="s">
        <v>27</v>
      </c>
      <c r="C9">
        <v>370</v>
      </c>
      <c r="D9" s="2">
        <v>155</v>
      </c>
      <c r="E9" s="2">
        <v>57350</v>
      </c>
      <c r="F9" s="2" t="str">
        <f t="shared" si="0"/>
        <v>Yes</v>
      </c>
      <c r="G9" t="s">
        <v>33</v>
      </c>
      <c r="H9" t="s">
        <v>37</v>
      </c>
      <c r="I9" t="s">
        <v>48</v>
      </c>
    </row>
    <row r="10" spans="1:9" x14ac:dyDescent="0.35">
      <c r="A10" t="s">
        <v>14</v>
      </c>
      <c r="B10" t="s">
        <v>27</v>
      </c>
      <c r="C10">
        <v>203</v>
      </c>
      <c r="D10" s="2">
        <v>97</v>
      </c>
      <c r="E10" s="2">
        <v>19691</v>
      </c>
      <c r="F10" s="2" t="str">
        <f t="shared" si="0"/>
        <v>No</v>
      </c>
      <c r="G10" t="s">
        <v>30</v>
      </c>
      <c r="H10" t="s">
        <v>38</v>
      </c>
      <c r="I10" t="s">
        <v>43</v>
      </c>
    </row>
    <row r="11" spans="1:9" x14ac:dyDescent="0.35">
      <c r="A11" t="s">
        <v>8</v>
      </c>
      <c r="B11" t="s">
        <v>26</v>
      </c>
      <c r="C11">
        <v>402</v>
      </c>
      <c r="D11" s="2">
        <v>134</v>
      </c>
      <c r="E11" s="2">
        <v>53868</v>
      </c>
      <c r="F11" s="2" t="str">
        <f t="shared" si="0"/>
        <v>Yes</v>
      </c>
      <c r="G11" t="s">
        <v>32</v>
      </c>
      <c r="H11" t="s">
        <v>36</v>
      </c>
      <c r="I11" t="s">
        <v>49</v>
      </c>
    </row>
    <row r="12" spans="1:9" x14ac:dyDescent="0.35">
      <c r="A12" t="s">
        <v>11</v>
      </c>
      <c r="B12" t="s">
        <v>26</v>
      </c>
      <c r="C12">
        <v>100</v>
      </c>
      <c r="D12" s="2">
        <v>143</v>
      </c>
      <c r="E12" s="2">
        <v>14300</v>
      </c>
      <c r="F12" s="2" t="str">
        <f t="shared" si="0"/>
        <v>No</v>
      </c>
      <c r="G12" t="s">
        <v>33</v>
      </c>
      <c r="H12" t="s">
        <v>36</v>
      </c>
      <c r="I12" t="s">
        <v>43</v>
      </c>
    </row>
    <row r="13" spans="1:9" x14ac:dyDescent="0.35">
      <c r="A13" t="s">
        <v>8</v>
      </c>
      <c r="B13" t="s">
        <v>26</v>
      </c>
      <c r="C13">
        <v>194</v>
      </c>
      <c r="D13" s="2">
        <v>107</v>
      </c>
      <c r="E13" s="2">
        <v>20758</v>
      </c>
      <c r="F13" s="2" t="str">
        <f t="shared" si="0"/>
        <v>No</v>
      </c>
      <c r="G13" t="s">
        <v>33</v>
      </c>
      <c r="H13" t="s">
        <v>37</v>
      </c>
      <c r="I13" t="s">
        <v>42</v>
      </c>
    </row>
    <row r="14" spans="1:9" x14ac:dyDescent="0.35">
      <c r="A14" t="s">
        <v>10</v>
      </c>
      <c r="B14" t="s">
        <v>28</v>
      </c>
      <c r="C14">
        <v>121</v>
      </c>
      <c r="D14" s="2">
        <v>157</v>
      </c>
      <c r="E14" s="2">
        <v>18997</v>
      </c>
      <c r="F14" s="2" t="str">
        <f t="shared" si="0"/>
        <v>No</v>
      </c>
      <c r="G14" t="s">
        <v>33</v>
      </c>
      <c r="H14" t="s">
        <v>36</v>
      </c>
      <c r="I14" t="s">
        <v>47</v>
      </c>
    </row>
    <row r="15" spans="1:9" x14ac:dyDescent="0.35">
      <c r="A15" t="s">
        <v>13</v>
      </c>
      <c r="B15" t="s">
        <v>27</v>
      </c>
      <c r="C15">
        <v>426</v>
      </c>
      <c r="D15" s="2">
        <v>178</v>
      </c>
      <c r="E15" s="2">
        <v>75828</v>
      </c>
      <c r="F15" s="2" t="str">
        <f t="shared" si="0"/>
        <v>Yes</v>
      </c>
      <c r="G15" t="s">
        <v>31</v>
      </c>
      <c r="H15" t="s">
        <v>37</v>
      </c>
      <c r="I15" t="s">
        <v>49</v>
      </c>
    </row>
    <row r="16" spans="1:9" x14ac:dyDescent="0.35">
      <c r="A16" t="s">
        <v>15</v>
      </c>
      <c r="B16" t="s">
        <v>29</v>
      </c>
      <c r="C16">
        <v>251</v>
      </c>
      <c r="D16" s="2">
        <v>116</v>
      </c>
      <c r="E16" s="2">
        <v>29116</v>
      </c>
      <c r="F16" s="2" t="str">
        <f t="shared" si="0"/>
        <v>No</v>
      </c>
      <c r="G16" t="s">
        <v>31</v>
      </c>
      <c r="H16" t="s">
        <v>39</v>
      </c>
      <c r="I16" t="s">
        <v>44</v>
      </c>
    </row>
    <row r="17" spans="1:9" x14ac:dyDescent="0.35">
      <c r="A17" t="s">
        <v>16</v>
      </c>
      <c r="B17" t="s">
        <v>28</v>
      </c>
      <c r="C17">
        <v>205</v>
      </c>
      <c r="D17" s="2">
        <v>99</v>
      </c>
      <c r="E17" s="2">
        <v>20295</v>
      </c>
      <c r="F17" s="2" t="str">
        <f t="shared" si="0"/>
        <v>No</v>
      </c>
      <c r="G17" t="s">
        <v>33</v>
      </c>
      <c r="H17" t="s">
        <v>38</v>
      </c>
      <c r="I17" t="s">
        <v>43</v>
      </c>
    </row>
    <row r="18" spans="1:9" x14ac:dyDescent="0.35">
      <c r="A18" t="s">
        <v>17</v>
      </c>
      <c r="B18" t="s">
        <v>29</v>
      </c>
      <c r="C18">
        <v>435</v>
      </c>
      <c r="D18" s="2">
        <v>102</v>
      </c>
      <c r="E18" s="2">
        <v>44370</v>
      </c>
      <c r="F18" s="2" t="str">
        <f t="shared" si="0"/>
        <v>No</v>
      </c>
      <c r="G18" t="s">
        <v>30</v>
      </c>
      <c r="H18" t="s">
        <v>34</v>
      </c>
      <c r="I18" t="s">
        <v>45</v>
      </c>
    </row>
    <row r="19" spans="1:9" x14ac:dyDescent="0.35">
      <c r="A19" t="s">
        <v>18</v>
      </c>
      <c r="B19" t="s">
        <v>28</v>
      </c>
      <c r="C19">
        <v>364</v>
      </c>
      <c r="D19" s="2">
        <v>162</v>
      </c>
      <c r="E19" s="2">
        <v>58968</v>
      </c>
      <c r="F19" s="2" t="str">
        <f t="shared" si="0"/>
        <v>Yes</v>
      </c>
      <c r="G19" t="s">
        <v>30</v>
      </c>
      <c r="H19" t="s">
        <v>39</v>
      </c>
      <c r="I19" t="s">
        <v>42</v>
      </c>
    </row>
    <row r="20" spans="1:9" x14ac:dyDescent="0.35">
      <c r="A20" t="s">
        <v>8</v>
      </c>
      <c r="B20" t="s">
        <v>26</v>
      </c>
      <c r="C20">
        <v>224</v>
      </c>
      <c r="D20" s="2">
        <v>191</v>
      </c>
      <c r="E20" s="2">
        <v>42784</v>
      </c>
      <c r="F20" s="2" t="str">
        <f t="shared" si="0"/>
        <v>No</v>
      </c>
      <c r="G20" t="s">
        <v>31</v>
      </c>
      <c r="H20" t="s">
        <v>40</v>
      </c>
      <c r="I20" t="s">
        <v>42</v>
      </c>
    </row>
    <row r="21" spans="1:9" x14ac:dyDescent="0.35">
      <c r="A21" t="s">
        <v>19</v>
      </c>
      <c r="B21" t="s">
        <v>29</v>
      </c>
      <c r="C21">
        <v>194</v>
      </c>
      <c r="D21" s="2">
        <v>122</v>
      </c>
      <c r="E21" s="2">
        <v>23668</v>
      </c>
      <c r="F21" s="2" t="str">
        <f t="shared" si="0"/>
        <v>No</v>
      </c>
      <c r="G21" t="s">
        <v>31</v>
      </c>
      <c r="H21" t="s">
        <v>40</v>
      </c>
      <c r="I21" t="s">
        <v>44</v>
      </c>
    </row>
    <row r="22" spans="1:9" x14ac:dyDescent="0.35">
      <c r="A22" t="s">
        <v>13</v>
      </c>
      <c r="B22" t="s">
        <v>27</v>
      </c>
      <c r="C22">
        <v>157</v>
      </c>
      <c r="D22" s="2">
        <v>75</v>
      </c>
      <c r="E22" s="2">
        <v>11775</v>
      </c>
      <c r="F22" s="2" t="str">
        <f t="shared" si="0"/>
        <v>No</v>
      </c>
      <c r="G22" t="s">
        <v>33</v>
      </c>
      <c r="H22" t="s">
        <v>34</v>
      </c>
      <c r="I22" t="s">
        <v>50</v>
      </c>
    </row>
    <row r="23" spans="1:9" x14ac:dyDescent="0.35">
      <c r="A23" t="s">
        <v>19</v>
      </c>
      <c r="B23" t="s">
        <v>29</v>
      </c>
      <c r="C23">
        <v>57</v>
      </c>
      <c r="D23" s="2">
        <v>122</v>
      </c>
      <c r="E23" s="2">
        <v>6954</v>
      </c>
      <c r="F23" s="2" t="str">
        <f t="shared" si="0"/>
        <v>No</v>
      </c>
      <c r="G23" t="s">
        <v>33</v>
      </c>
      <c r="H23" t="s">
        <v>39</v>
      </c>
      <c r="I23" t="s">
        <v>45</v>
      </c>
    </row>
    <row r="24" spans="1:9" x14ac:dyDescent="0.35">
      <c r="A24" t="s">
        <v>17</v>
      </c>
      <c r="B24" t="s">
        <v>29</v>
      </c>
      <c r="C24">
        <v>115</v>
      </c>
      <c r="D24" s="2">
        <v>71</v>
      </c>
      <c r="E24" s="2">
        <v>8165</v>
      </c>
      <c r="F24" s="2" t="str">
        <f t="shared" si="0"/>
        <v>No</v>
      </c>
      <c r="G24" t="s">
        <v>33</v>
      </c>
      <c r="H24" t="s">
        <v>37</v>
      </c>
      <c r="I24" t="s">
        <v>50</v>
      </c>
    </row>
    <row r="25" spans="1:9" x14ac:dyDescent="0.35">
      <c r="A25" t="s">
        <v>12</v>
      </c>
      <c r="B25" t="s">
        <v>27</v>
      </c>
      <c r="C25">
        <v>358</v>
      </c>
      <c r="D25" s="2">
        <v>34</v>
      </c>
      <c r="E25" s="2">
        <v>12172</v>
      </c>
      <c r="F25" s="2" t="str">
        <f t="shared" si="0"/>
        <v>No</v>
      </c>
      <c r="G25" t="s">
        <v>30</v>
      </c>
      <c r="H25" t="s">
        <v>35</v>
      </c>
      <c r="I25" t="s">
        <v>44</v>
      </c>
    </row>
    <row r="26" spans="1:9" x14ac:dyDescent="0.35">
      <c r="A26" t="s">
        <v>8</v>
      </c>
      <c r="B26" t="s">
        <v>26</v>
      </c>
      <c r="C26">
        <v>83</v>
      </c>
      <c r="D26" s="2">
        <v>180</v>
      </c>
      <c r="E26" s="2">
        <v>14940</v>
      </c>
      <c r="F26" s="2" t="str">
        <f t="shared" si="0"/>
        <v>No</v>
      </c>
      <c r="G26" t="s">
        <v>30</v>
      </c>
      <c r="H26" t="s">
        <v>41</v>
      </c>
      <c r="I26" t="s">
        <v>51</v>
      </c>
    </row>
    <row r="27" spans="1:9" x14ac:dyDescent="0.35">
      <c r="A27" t="s">
        <v>15</v>
      </c>
      <c r="B27" t="s">
        <v>29</v>
      </c>
      <c r="C27">
        <v>103</v>
      </c>
      <c r="D27" s="2">
        <v>102</v>
      </c>
      <c r="E27" s="2">
        <v>10506</v>
      </c>
      <c r="F27" s="2" t="str">
        <f t="shared" si="0"/>
        <v>No</v>
      </c>
      <c r="G27" t="s">
        <v>32</v>
      </c>
      <c r="H27" t="s">
        <v>38</v>
      </c>
      <c r="I27" t="s">
        <v>44</v>
      </c>
    </row>
    <row r="28" spans="1:9" x14ac:dyDescent="0.35">
      <c r="A28" t="s">
        <v>16</v>
      </c>
      <c r="B28" t="s">
        <v>28</v>
      </c>
      <c r="C28">
        <v>134</v>
      </c>
      <c r="D28" s="2">
        <v>77</v>
      </c>
      <c r="E28" s="2">
        <v>10318</v>
      </c>
      <c r="F28" s="2" t="str">
        <f t="shared" si="0"/>
        <v>No</v>
      </c>
      <c r="G28" t="s">
        <v>30</v>
      </c>
      <c r="H28" t="s">
        <v>38</v>
      </c>
      <c r="I28" t="s">
        <v>52</v>
      </c>
    </row>
    <row r="29" spans="1:9" x14ac:dyDescent="0.35">
      <c r="A29" t="s">
        <v>20</v>
      </c>
      <c r="B29" t="s">
        <v>26</v>
      </c>
      <c r="C29">
        <v>124</v>
      </c>
      <c r="D29" s="2">
        <v>104</v>
      </c>
      <c r="E29" s="2">
        <v>12896</v>
      </c>
      <c r="F29" s="2" t="str">
        <f t="shared" si="0"/>
        <v>No</v>
      </c>
      <c r="G29" t="s">
        <v>31</v>
      </c>
      <c r="H29" t="s">
        <v>35</v>
      </c>
      <c r="I29" t="s">
        <v>43</v>
      </c>
    </row>
    <row r="30" spans="1:9" x14ac:dyDescent="0.35">
      <c r="A30" t="s">
        <v>21</v>
      </c>
      <c r="B30" t="s">
        <v>29</v>
      </c>
      <c r="C30">
        <v>336</v>
      </c>
      <c r="D30" s="2">
        <v>41</v>
      </c>
      <c r="E30" s="2">
        <v>13776</v>
      </c>
      <c r="F30" s="2" t="str">
        <f t="shared" si="0"/>
        <v>No</v>
      </c>
      <c r="G30" t="s">
        <v>31</v>
      </c>
      <c r="H30" t="s">
        <v>39</v>
      </c>
      <c r="I30" t="s">
        <v>48</v>
      </c>
    </row>
    <row r="31" spans="1:9" x14ac:dyDescent="0.35">
      <c r="A31" t="s">
        <v>14</v>
      </c>
      <c r="B31" t="s">
        <v>27</v>
      </c>
      <c r="C31">
        <v>372</v>
      </c>
      <c r="D31" s="2">
        <v>165</v>
      </c>
      <c r="E31" s="2">
        <v>61380</v>
      </c>
      <c r="F31" s="2" t="str">
        <f t="shared" si="0"/>
        <v>Yes</v>
      </c>
      <c r="G31" t="s">
        <v>31</v>
      </c>
      <c r="H31" t="s">
        <v>37</v>
      </c>
      <c r="I31" t="s">
        <v>52</v>
      </c>
    </row>
    <row r="32" spans="1:9" x14ac:dyDescent="0.35">
      <c r="A32" t="s">
        <v>9</v>
      </c>
      <c r="B32" t="s">
        <v>27</v>
      </c>
      <c r="C32">
        <v>107</v>
      </c>
      <c r="D32" s="2">
        <v>100</v>
      </c>
      <c r="E32" s="2">
        <v>10700</v>
      </c>
      <c r="F32" s="2" t="str">
        <f t="shared" si="0"/>
        <v>No</v>
      </c>
      <c r="G32" t="s">
        <v>30</v>
      </c>
      <c r="H32" t="s">
        <v>40</v>
      </c>
      <c r="I32" t="s">
        <v>51</v>
      </c>
    </row>
    <row r="33" spans="1:9" x14ac:dyDescent="0.35">
      <c r="A33" t="s">
        <v>17</v>
      </c>
      <c r="B33" t="s">
        <v>29</v>
      </c>
      <c r="C33">
        <v>182</v>
      </c>
      <c r="D33" s="2">
        <v>54</v>
      </c>
      <c r="E33" s="2">
        <v>9828</v>
      </c>
      <c r="F33" s="2" t="str">
        <f t="shared" si="0"/>
        <v>No</v>
      </c>
      <c r="G33" t="s">
        <v>32</v>
      </c>
      <c r="H33" t="s">
        <v>35</v>
      </c>
      <c r="I33" t="s">
        <v>45</v>
      </c>
    </row>
    <row r="34" spans="1:9" x14ac:dyDescent="0.35">
      <c r="A34" t="s">
        <v>22</v>
      </c>
      <c r="B34" t="s">
        <v>28</v>
      </c>
      <c r="C34">
        <v>372</v>
      </c>
      <c r="D34" s="2">
        <v>119</v>
      </c>
      <c r="E34" s="2">
        <v>44268</v>
      </c>
      <c r="F34" s="2" t="str">
        <f t="shared" si="0"/>
        <v>No</v>
      </c>
      <c r="G34" t="s">
        <v>30</v>
      </c>
      <c r="H34" t="s">
        <v>37</v>
      </c>
      <c r="I34" t="s">
        <v>51</v>
      </c>
    </row>
    <row r="35" spans="1:9" x14ac:dyDescent="0.35">
      <c r="A35" t="s">
        <v>21</v>
      </c>
      <c r="B35" t="s">
        <v>29</v>
      </c>
      <c r="C35">
        <v>411</v>
      </c>
      <c r="D35" s="2">
        <v>171</v>
      </c>
      <c r="E35" s="2">
        <v>70281</v>
      </c>
      <c r="F35" s="2" t="str">
        <f t="shared" si="0"/>
        <v>Yes</v>
      </c>
      <c r="G35" t="s">
        <v>30</v>
      </c>
      <c r="H35" t="s">
        <v>36</v>
      </c>
      <c r="I35" t="s">
        <v>52</v>
      </c>
    </row>
    <row r="36" spans="1:9" x14ac:dyDescent="0.35">
      <c r="A36" t="s">
        <v>19</v>
      </c>
      <c r="B36" t="s">
        <v>29</v>
      </c>
      <c r="C36">
        <v>439</v>
      </c>
      <c r="D36" s="2">
        <v>95</v>
      </c>
      <c r="E36" s="2">
        <v>41705</v>
      </c>
      <c r="F36" s="2" t="str">
        <f t="shared" si="0"/>
        <v>No</v>
      </c>
      <c r="G36" t="s">
        <v>31</v>
      </c>
      <c r="H36" t="s">
        <v>41</v>
      </c>
      <c r="I36" t="s">
        <v>47</v>
      </c>
    </row>
    <row r="37" spans="1:9" x14ac:dyDescent="0.35">
      <c r="A37" t="s">
        <v>14</v>
      </c>
      <c r="B37" t="s">
        <v>27</v>
      </c>
      <c r="C37">
        <v>107</v>
      </c>
      <c r="D37" s="2">
        <v>71</v>
      </c>
      <c r="E37" s="2">
        <v>7597</v>
      </c>
      <c r="F37" s="2" t="str">
        <f t="shared" si="0"/>
        <v>No</v>
      </c>
      <c r="G37" t="s">
        <v>31</v>
      </c>
      <c r="H37" t="s">
        <v>35</v>
      </c>
      <c r="I37" t="s">
        <v>43</v>
      </c>
    </row>
    <row r="38" spans="1:9" x14ac:dyDescent="0.35">
      <c r="A38" t="s">
        <v>23</v>
      </c>
      <c r="B38" t="s">
        <v>28</v>
      </c>
      <c r="C38">
        <v>283</v>
      </c>
      <c r="D38" s="2">
        <v>152</v>
      </c>
      <c r="E38" s="2">
        <v>43016</v>
      </c>
      <c r="F38" s="2" t="str">
        <f t="shared" si="0"/>
        <v>No</v>
      </c>
      <c r="G38" t="s">
        <v>32</v>
      </c>
      <c r="H38" t="s">
        <v>35</v>
      </c>
      <c r="I38" t="s">
        <v>51</v>
      </c>
    </row>
    <row r="39" spans="1:9" x14ac:dyDescent="0.35">
      <c r="A39" t="s">
        <v>19</v>
      </c>
      <c r="B39" t="s">
        <v>29</v>
      </c>
      <c r="C39">
        <v>105</v>
      </c>
      <c r="D39" s="2">
        <v>33</v>
      </c>
      <c r="E39" s="2">
        <v>3465</v>
      </c>
      <c r="F39" s="2" t="str">
        <f t="shared" si="0"/>
        <v>No</v>
      </c>
      <c r="G39" t="s">
        <v>33</v>
      </c>
      <c r="H39" t="s">
        <v>34</v>
      </c>
      <c r="I39" t="s">
        <v>47</v>
      </c>
    </row>
    <row r="40" spans="1:9" x14ac:dyDescent="0.35">
      <c r="A40" t="s">
        <v>19</v>
      </c>
      <c r="B40" t="s">
        <v>29</v>
      </c>
      <c r="C40">
        <v>410</v>
      </c>
      <c r="D40" s="2">
        <v>135</v>
      </c>
      <c r="E40" s="2">
        <v>55350</v>
      </c>
      <c r="F40" s="2" t="str">
        <f t="shared" si="0"/>
        <v>Yes</v>
      </c>
      <c r="G40" t="s">
        <v>30</v>
      </c>
      <c r="H40" t="s">
        <v>34</v>
      </c>
      <c r="I40" t="s">
        <v>53</v>
      </c>
    </row>
    <row r="41" spans="1:9" x14ac:dyDescent="0.35">
      <c r="A41" t="s">
        <v>24</v>
      </c>
      <c r="B41" t="s">
        <v>28</v>
      </c>
      <c r="C41">
        <v>99</v>
      </c>
      <c r="D41" s="2">
        <v>172</v>
      </c>
      <c r="E41" s="2">
        <v>17028</v>
      </c>
      <c r="F41" s="2" t="str">
        <f t="shared" si="0"/>
        <v>No</v>
      </c>
      <c r="G41" t="s">
        <v>33</v>
      </c>
      <c r="H41" t="s">
        <v>34</v>
      </c>
      <c r="I41" t="s">
        <v>48</v>
      </c>
    </row>
    <row r="42" spans="1:9" x14ac:dyDescent="0.35">
      <c r="A42" t="s">
        <v>17</v>
      </c>
      <c r="B42" t="s">
        <v>29</v>
      </c>
      <c r="C42">
        <v>171</v>
      </c>
      <c r="D42" s="2">
        <v>86</v>
      </c>
      <c r="E42" s="2">
        <v>14706</v>
      </c>
      <c r="F42" s="2" t="str">
        <f t="shared" si="0"/>
        <v>No</v>
      </c>
      <c r="G42" t="s">
        <v>31</v>
      </c>
      <c r="H42" t="s">
        <v>40</v>
      </c>
      <c r="I42" t="s">
        <v>51</v>
      </c>
    </row>
    <row r="43" spans="1:9" x14ac:dyDescent="0.35">
      <c r="A43" t="s">
        <v>13</v>
      </c>
      <c r="B43" t="s">
        <v>27</v>
      </c>
      <c r="C43">
        <v>278</v>
      </c>
      <c r="D43" s="2">
        <v>45</v>
      </c>
      <c r="E43" s="2">
        <v>12510</v>
      </c>
      <c r="F43" s="2" t="str">
        <f t="shared" si="0"/>
        <v>No</v>
      </c>
      <c r="G43" t="s">
        <v>33</v>
      </c>
      <c r="H43" t="s">
        <v>37</v>
      </c>
      <c r="I43" t="s">
        <v>48</v>
      </c>
    </row>
    <row r="44" spans="1:9" x14ac:dyDescent="0.35">
      <c r="A44" t="s">
        <v>22</v>
      </c>
      <c r="B44" t="s">
        <v>28</v>
      </c>
      <c r="C44">
        <v>499</v>
      </c>
      <c r="D44" s="2">
        <v>190</v>
      </c>
      <c r="E44" s="2">
        <v>94810</v>
      </c>
      <c r="F44" s="2" t="str">
        <f t="shared" si="0"/>
        <v>Yes</v>
      </c>
      <c r="G44" t="s">
        <v>30</v>
      </c>
      <c r="H44" t="s">
        <v>41</v>
      </c>
      <c r="I44" t="s">
        <v>43</v>
      </c>
    </row>
    <row r="45" spans="1:9" x14ac:dyDescent="0.35">
      <c r="A45" t="s">
        <v>15</v>
      </c>
      <c r="B45" t="s">
        <v>29</v>
      </c>
      <c r="C45">
        <v>352</v>
      </c>
      <c r="D45" s="2">
        <v>62</v>
      </c>
      <c r="E45" s="2">
        <v>21824</v>
      </c>
      <c r="F45" s="2" t="str">
        <f t="shared" si="0"/>
        <v>No</v>
      </c>
      <c r="G45" t="s">
        <v>31</v>
      </c>
      <c r="H45" t="s">
        <v>38</v>
      </c>
      <c r="I45" t="s">
        <v>52</v>
      </c>
    </row>
    <row r="46" spans="1:9" x14ac:dyDescent="0.35">
      <c r="A46" t="s">
        <v>15</v>
      </c>
      <c r="B46" t="s">
        <v>29</v>
      </c>
      <c r="C46">
        <v>256</v>
      </c>
      <c r="D46" s="2">
        <v>95</v>
      </c>
      <c r="E46" s="2">
        <v>24320</v>
      </c>
      <c r="F46" s="2" t="str">
        <f t="shared" si="0"/>
        <v>No</v>
      </c>
      <c r="G46" t="s">
        <v>32</v>
      </c>
      <c r="H46" t="s">
        <v>41</v>
      </c>
      <c r="I46" t="s">
        <v>50</v>
      </c>
    </row>
    <row r="47" spans="1:9" x14ac:dyDescent="0.35">
      <c r="A47" t="s">
        <v>20</v>
      </c>
      <c r="B47" t="s">
        <v>26</v>
      </c>
      <c r="C47">
        <v>260</v>
      </c>
      <c r="D47" s="2">
        <v>39</v>
      </c>
      <c r="E47" s="2">
        <v>10140</v>
      </c>
      <c r="F47" s="2" t="str">
        <f t="shared" si="0"/>
        <v>No</v>
      </c>
      <c r="G47" t="s">
        <v>30</v>
      </c>
      <c r="H47" t="s">
        <v>41</v>
      </c>
      <c r="I47" t="s">
        <v>49</v>
      </c>
    </row>
    <row r="48" spans="1:9" x14ac:dyDescent="0.35">
      <c r="A48" t="s">
        <v>20</v>
      </c>
      <c r="B48" t="s">
        <v>26</v>
      </c>
      <c r="C48">
        <v>372</v>
      </c>
      <c r="D48" s="2">
        <v>95</v>
      </c>
      <c r="E48" s="2">
        <v>35340</v>
      </c>
      <c r="F48" s="2" t="str">
        <f t="shared" si="0"/>
        <v>No</v>
      </c>
      <c r="G48" t="s">
        <v>33</v>
      </c>
      <c r="H48" t="s">
        <v>36</v>
      </c>
      <c r="I48" t="s">
        <v>52</v>
      </c>
    </row>
    <row r="49" spans="1:9" x14ac:dyDescent="0.35">
      <c r="A49" t="s">
        <v>16</v>
      </c>
      <c r="B49" t="s">
        <v>28</v>
      </c>
      <c r="C49">
        <v>68</v>
      </c>
      <c r="D49" s="2">
        <v>156</v>
      </c>
      <c r="E49" s="2">
        <v>10608</v>
      </c>
      <c r="F49" s="2" t="str">
        <f t="shared" si="0"/>
        <v>No</v>
      </c>
      <c r="G49" t="s">
        <v>30</v>
      </c>
      <c r="H49" t="s">
        <v>39</v>
      </c>
      <c r="I49" t="s">
        <v>49</v>
      </c>
    </row>
    <row r="50" spans="1:9" x14ac:dyDescent="0.35">
      <c r="A50" t="s">
        <v>19</v>
      </c>
      <c r="B50" t="s">
        <v>29</v>
      </c>
      <c r="C50">
        <v>203</v>
      </c>
      <c r="D50" s="2">
        <v>36</v>
      </c>
      <c r="E50" s="2">
        <v>7308</v>
      </c>
      <c r="F50" s="2" t="str">
        <f t="shared" si="0"/>
        <v>No</v>
      </c>
      <c r="G50" t="s">
        <v>30</v>
      </c>
      <c r="H50" t="s">
        <v>41</v>
      </c>
      <c r="I50" t="s">
        <v>42</v>
      </c>
    </row>
    <row r="51" spans="1:9" x14ac:dyDescent="0.35">
      <c r="A51" t="s">
        <v>8</v>
      </c>
      <c r="B51" t="s">
        <v>26</v>
      </c>
      <c r="C51">
        <v>194</v>
      </c>
      <c r="D51" s="2">
        <v>98</v>
      </c>
      <c r="E51" s="2">
        <v>19012</v>
      </c>
      <c r="F51" s="2" t="str">
        <f t="shared" si="0"/>
        <v>No</v>
      </c>
      <c r="G51" t="s">
        <v>31</v>
      </c>
      <c r="H51" t="s">
        <v>40</v>
      </c>
      <c r="I51" t="s">
        <v>43</v>
      </c>
    </row>
    <row r="52" spans="1:9" x14ac:dyDescent="0.35">
      <c r="A52" t="s">
        <v>16</v>
      </c>
      <c r="B52" t="s">
        <v>28</v>
      </c>
      <c r="C52">
        <v>271</v>
      </c>
      <c r="D52" s="2">
        <v>152</v>
      </c>
      <c r="E52" s="2">
        <v>41192</v>
      </c>
      <c r="F52" s="2" t="str">
        <f t="shared" si="0"/>
        <v>No</v>
      </c>
      <c r="G52" t="s">
        <v>31</v>
      </c>
      <c r="H52" t="s">
        <v>35</v>
      </c>
      <c r="I52" t="s">
        <v>52</v>
      </c>
    </row>
    <row r="53" spans="1:9" x14ac:dyDescent="0.35">
      <c r="A53" t="s">
        <v>9</v>
      </c>
      <c r="B53" t="s">
        <v>27</v>
      </c>
      <c r="C53">
        <v>243</v>
      </c>
      <c r="D53" s="2">
        <v>173</v>
      </c>
      <c r="E53" s="2">
        <v>42039</v>
      </c>
      <c r="F53" s="2" t="str">
        <f t="shared" si="0"/>
        <v>No</v>
      </c>
      <c r="G53" t="s">
        <v>33</v>
      </c>
      <c r="H53" t="s">
        <v>34</v>
      </c>
      <c r="I53" t="s">
        <v>44</v>
      </c>
    </row>
    <row r="54" spans="1:9" x14ac:dyDescent="0.35">
      <c r="A54" t="s">
        <v>12</v>
      </c>
      <c r="B54" t="s">
        <v>27</v>
      </c>
      <c r="C54">
        <v>181</v>
      </c>
      <c r="D54" s="2">
        <v>128</v>
      </c>
      <c r="E54" s="2">
        <v>23168</v>
      </c>
      <c r="F54" s="2" t="str">
        <f t="shared" si="0"/>
        <v>No</v>
      </c>
      <c r="G54" t="s">
        <v>32</v>
      </c>
      <c r="H54" t="s">
        <v>37</v>
      </c>
      <c r="I54" t="s">
        <v>50</v>
      </c>
    </row>
    <row r="55" spans="1:9" x14ac:dyDescent="0.35">
      <c r="A55" t="s">
        <v>8</v>
      </c>
      <c r="B55" t="s">
        <v>26</v>
      </c>
      <c r="C55">
        <v>261</v>
      </c>
      <c r="D55" s="2">
        <v>98</v>
      </c>
      <c r="E55" s="2">
        <v>25578</v>
      </c>
      <c r="F55" s="2" t="str">
        <f t="shared" si="0"/>
        <v>No</v>
      </c>
      <c r="G55" t="s">
        <v>32</v>
      </c>
      <c r="H55" t="s">
        <v>37</v>
      </c>
      <c r="I55" t="s">
        <v>42</v>
      </c>
    </row>
    <row r="56" spans="1:9" x14ac:dyDescent="0.35">
      <c r="A56" t="s">
        <v>15</v>
      </c>
      <c r="B56" t="s">
        <v>29</v>
      </c>
      <c r="C56">
        <v>282</v>
      </c>
      <c r="D56" s="2">
        <v>110</v>
      </c>
      <c r="E56" s="2">
        <v>31020</v>
      </c>
      <c r="F56" s="2" t="str">
        <f t="shared" si="0"/>
        <v>No</v>
      </c>
      <c r="G56" t="s">
        <v>32</v>
      </c>
      <c r="H56" t="s">
        <v>37</v>
      </c>
      <c r="I56" t="s">
        <v>53</v>
      </c>
    </row>
    <row r="57" spans="1:9" x14ac:dyDescent="0.35">
      <c r="A57" t="s">
        <v>25</v>
      </c>
      <c r="B57" t="s">
        <v>28</v>
      </c>
      <c r="C57">
        <v>316</v>
      </c>
      <c r="D57" s="2">
        <v>139</v>
      </c>
      <c r="E57" s="2">
        <v>43924</v>
      </c>
      <c r="F57" s="2" t="str">
        <f t="shared" si="0"/>
        <v>No</v>
      </c>
      <c r="G57" t="s">
        <v>31</v>
      </c>
      <c r="H57" t="s">
        <v>38</v>
      </c>
      <c r="I57" t="s">
        <v>53</v>
      </c>
    </row>
    <row r="58" spans="1:9" x14ac:dyDescent="0.35">
      <c r="A58" t="s">
        <v>18</v>
      </c>
      <c r="B58" t="s">
        <v>28</v>
      </c>
      <c r="C58">
        <v>336</v>
      </c>
      <c r="D58" s="2">
        <v>91</v>
      </c>
      <c r="E58" s="2">
        <v>30576</v>
      </c>
      <c r="F58" s="2" t="str">
        <f t="shared" si="0"/>
        <v>No</v>
      </c>
      <c r="G58" t="s">
        <v>33</v>
      </c>
      <c r="H58" t="s">
        <v>38</v>
      </c>
      <c r="I58" t="s">
        <v>46</v>
      </c>
    </row>
    <row r="59" spans="1:9" x14ac:dyDescent="0.35">
      <c r="A59" t="s">
        <v>11</v>
      </c>
      <c r="B59" t="s">
        <v>26</v>
      </c>
      <c r="C59">
        <v>323</v>
      </c>
      <c r="D59" s="2">
        <v>195</v>
      </c>
      <c r="E59" s="2">
        <v>62985</v>
      </c>
      <c r="F59" s="2" t="str">
        <f t="shared" si="0"/>
        <v>Yes</v>
      </c>
      <c r="G59" t="s">
        <v>33</v>
      </c>
      <c r="H59" t="s">
        <v>34</v>
      </c>
      <c r="I59" t="s">
        <v>42</v>
      </c>
    </row>
    <row r="60" spans="1:9" x14ac:dyDescent="0.35">
      <c r="A60" t="s">
        <v>8</v>
      </c>
      <c r="B60" t="s">
        <v>26</v>
      </c>
      <c r="C60">
        <v>428</v>
      </c>
      <c r="D60" s="2">
        <v>147</v>
      </c>
      <c r="E60" s="2">
        <v>62916</v>
      </c>
      <c r="F60" s="2" t="str">
        <f t="shared" si="0"/>
        <v>Yes</v>
      </c>
      <c r="G60" t="s">
        <v>32</v>
      </c>
      <c r="H60" t="s">
        <v>40</v>
      </c>
      <c r="I60" t="s">
        <v>46</v>
      </c>
    </row>
    <row r="61" spans="1:9" x14ac:dyDescent="0.35">
      <c r="A61" t="s">
        <v>20</v>
      </c>
      <c r="B61" t="s">
        <v>26</v>
      </c>
      <c r="C61">
        <v>57</v>
      </c>
      <c r="D61" s="2">
        <v>157</v>
      </c>
      <c r="E61" s="2">
        <v>8949</v>
      </c>
      <c r="F61" s="2" t="str">
        <f t="shared" si="0"/>
        <v>No</v>
      </c>
      <c r="G61" t="s">
        <v>30</v>
      </c>
      <c r="H61" t="s">
        <v>39</v>
      </c>
      <c r="I61" t="s">
        <v>43</v>
      </c>
    </row>
    <row r="62" spans="1:9" x14ac:dyDescent="0.35">
      <c r="F62" s="2"/>
    </row>
    <row r="63" spans="1:9" x14ac:dyDescent="0.35">
      <c r="A63" t="s">
        <v>54</v>
      </c>
      <c r="C63">
        <f>SUM(C2:C61)</f>
        <v>15130</v>
      </c>
      <c r="D63" s="2">
        <f t="shared" ref="D63:E63" si="1">SUM(D2:D61)</f>
        <v>6875</v>
      </c>
      <c r="E63" s="2">
        <f t="shared" si="1"/>
        <v>1754726</v>
      </c>
      <c r="F63" s="2"/>
    </row>
    <row r="64" spans="1:9" x14ac:dyDescent="0.35">
      <c r="A64" t="s">
        <v>55</v>
      </c>
      <c r="C64">
        <f>MAX(C2:C61)</f>
        <v>499</v>
      </c>
      <c r="D64" s="2">
        <f t="shared" ref="D64:E64" si="2">MAX(D2:D61)</f>
        <v>195</v>
      </c>
      <c r="E64" s="2">
        <f t="shared" si="2"/>
        <v>94810</v>
      </c>
      <c r="F64" s="2"/>
    </row>
    <row r="65" spans="1:6" x14ac:dyDescent="0.35">
      <c r="A65" t="s">
        <v>56</v>
      </c>
      <c r="C65">
        <f>MIN(C2:C61)</f>
        <v>38</v>
      </c>
      <c r="D65" s="2">
        <f t="shared" ref="D65:E65" si="3">MIN(D2:D61)</f>
        <v>33</v>
      </c>
      <c r="E65" s="2">
        <f t="shared" si="3"/>
        <v>3465</v>
      </c>
      <c r="F65" s="2"/>
    </row>
    <row r="66" spans="1:6" x14ac:dyDescent="0.35">
      <c r="A66" t="s">
        <v>57</v>
      </c>
      <c r="C66" s="3">
        <f>AVERAGE(C2:C61)</f>
        <v>252.16666666666666</v>
      </c>
      <c r="D66" s="2">
        <f t="shared" ref="D66:E66" si="4">AVERAGE(D2:D61)</f>
        <v>114.58333333333333</v>
      </c>
      <c r="E66" s="2">
        <f t="shared" si="4"/>
        <v>29245.433333333334</v>
      </c>
      <c r="F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" sqref="C2"/>
    </sheetView>
  </sheetViews>
  <sheetFormatPr defaultRowHeight="14.5" x14ac:dyDescent="0.35"/>
  <cols>
    <col min="2" max="2" width="55.26953125" customWidth="1"/>
    <col min="3" max="3" width="24.6328125" customWidth="1"/>
  </cols>
  <sheetData>
    <row r="1" spans="1:3" x14ac:dyDescent="0.35">
      <c r="A1" t="s">
        <v>58</v>
      </c>
      <c r="B1" t="s">
        <v>59</v>
      </c>
    </row>
    <row r="2" spans="1:3" x14ac:dyDescent="0.35">
      <c r="A2">
        <v>1</v>
      </c>
      <c r="B2" t="s">
        <v>60</v>
      </c>
      <c r="C2" s="4"/>
    </row>
    <row r="3" spans="1:3" x14ac:dyDescent="0.35">
      <c r="A3">
        <v>2</v>
      </c>
      <c r="B3" t="s">
        <v>61</v>
      </c>
      <c r="C3">
        <f>MAX(E2:E61)</f>
        <v>0</v>
      </c>
    </row>
    <row r="4" spans="1:3" x14ac:dyDescent="0.35">
      <c r="A4">
        <v>3</v>
      </c>
      <c r="B4" t="s">
        <v>62</v>
      </c>
    </row>
    <row r="5" spans="1:3" x14ac:dyDescent="0.35">
      <c r="A5">
        <v>4</v>
      </c>
      <c r="B5" t="s">
        <v>63</v>
      </c>
    </row>
    <row r="6" spans="1:3" x14ac:dyDescent="0.35">
      <c r="A6">
        <v>5</v>
      </c>
      <c r="B6" t="s">
        <v>64</v>
      </c>
    </row>
    <row r="7" spans="1:3" x14ac:dyDescent="0.35">
      <c r="A7">
        <v>6</v>
      </c>
      <c r="B7" t="s">
        <v>65</v>
      </c>
    </row>
    <row r="8" spans="1:3" x14ac:dyDescent="0.35">
      <c r="A8">
        <v>7</v>
      </c>
      <c r="B8" t="s">
        <v>66</v>
      </c>
    </row>
    <row r="9" spans="1:3" x14ac:dyDescent="0.35">
      <c r="A9">
        <v>8</v>
      </c>
      <c r="B9" t="s">
        <v>67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 Singh</dc:creator>
  <cp:lastModifiedBy>Lenovo</cp:lastModifiedBy>
  <dcterms:created xsi:type="dcterms:W3CDTF">2025-10-06T12:37:37Z</dcterms:created>
  <dcterms:modified xsi:type="dcterms:W3CDTF">2026-03-23T14:22:28Z</dcterms:modified>
</cp:coreProperties>
</file>